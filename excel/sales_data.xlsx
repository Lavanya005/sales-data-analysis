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anya\Desktop\github_prj\prj 2\"/>
    </mc:Choice>
  </mc:AlternateContent>
  <xr:revisionPtr revIDLastSave="0" documentId="13_ncr:1_{E889EEF3-E70C-47D1-A68F-9776BEBB85B7}" xr6:coauthVersionLast="47" xr6:coauthVersionMax="47" xr10:uidLastSave="{00000000-0000-0000-0000-000000000000}"/>
  <bookViews>
    <workbookView xWindow="-110" yWindow="-110" windowWidth="19420" windowHeight="10300" xr2:uid="{03B1CBD3-FCC7-4556-8629-A86D1AEC7A0C}"/>
  </bookViews>
  <sheets>
    <sheet name="Sheet2" sheetId="2" r:id="rId1"/>
    <sheet name="Sheet1" sheetId="1" r:id="rId2"/>
  </sheets>
  <calcPr calcId="18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</calcChain>
</file>

<file path=xl/sharedStrings.xml><?xml version="1.0" encoding="utf-8"?>
<sst xmlns="http://schemas.openxmlformats.org/spreadsheetml/2006/main" count="104" uniqueCount="43">
  <si>
    <t>Order_ID</t>
  </si>
  <si>
    <t>Order_Date</t>
  </si>
  <si>
    <t>Product</t>
  </si>
  <si>
    <t>Category</t>
  </si>
  <si>
    <t>Quantity</t>
  </si>
  <si>
    <t>Unit_Price</t>
  </si>
  <si>
    <t>Region</t>
  </si>
  <si>
    <t>O101</t>
  </si>
  <si>
    <t>Laptop</t>
  </si>
  <si>
    <t>Electronics</t>
  </si>
  <si>
    <t>South</t>
  </si>
  <si>
    <t>O102</t>
  </si>
  <si>
    <t>Mouse</t>
  </si>
  <si>
    <t>Accessories</t>
  </si>
  <si>
    <t>North</t>
  </si>
  <si>
    <t>O103</t>
  </si>
  <si>
    <t>Keyboard</t>
  </si>
  <si>
    <t>O104</t>
  </si>
  <si>
    <t>Monitor</t>
  </si>
  <si>
    <t>East</t>
  </si>
  <si>
    <t>O105</t>
  </si>
  <si>
    <t>West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</si>
  <si>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</si>
  <si>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</si>
  <si>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</si>
  <si>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</si>
  <si>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</si>
  <si>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</si>
  <si>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</si>
  <si>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</si>
  <si>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</si>
  <si>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</si>
  <si>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</si>
  <si>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</si>
  <si>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</si>
  <si>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</si>
  <si>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</si>
  <si>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Sales</t>
  </si>
  <si>
    <t>Row Labels</t>
  </si>
  <si>
    <t>Grand Total</t>
  </si>
  <si>
    <t>Sum of Sales</t>
  </si>
  <si>
    <t>Sum of Unit_Price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</si>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</sst>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Revenue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32400</c:v>
                </c:pt>
                <c:pt idx="1">
                  <c:v>405000</c:v>
                </c:pt>
                <c:pt idx="2">
                  <c:v>144000</c:v>
                </c:pt>
                <c:pt idx="3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F-4BAC-827C-8EA3C5E28F36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6000</c:v>
                </c:pt>
                <c:pt idx="1">
                  <c:v>225000</c:v>
                </c:pt>
                <c:pt idx="2">
                  <c:v>60000</c:v>
                </c:pt>
                <c:pt idx="3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F-4BAC-827C-8EA3C5E28F36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Sheet2!$D$4:$D$8</c:f>
              <c:numCache>
                <c:formatCode>General</c:formatCode>
                <c:ptCount val="4"/>
                <c:pt idx="0">
                  <c:v>27</c:v>
                </c:pt>
                <c:pt idx="1">
                  <c:v>9</c:v>
                </c:pt>
                <c:pt idx="2">
                  <c:v>12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F-4BAC-827C-8EA3C5E28F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7355311"/>
        <c:axId val="1307359151"/>
      </c:barChart>
      <c:catAx>
        <c:axId val="130735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59151"/>
        <c:crosses val="autoZero"/>
        <c:auto val="1"/>
        <c:lblAlgn val="ctr"/>
        <c:lblOffset val="100"/>
        <c:noMultiLvlLbl val="0"/>
      </c:catAx>
      <c:valAx>
        <c:axId val="130735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5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Region-wise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Sheet1!$J$7:$J$11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Sheet1!$K$7:$K$11</c:f>
              <c:numCache>
                <c:formatCode>General</c:formatCode>
                <c:ptCount val="4"/>
                <c:pt idx="0">
                  <c:v>122300</c:v>
                </c:pt>
                <c:pt idx="1">
                  <c:v>90700</c:v>
                </c:pt>
                <c:pt idx="2">
                  <c:v>281600</c:v>
                </c:pt>
                <c:pt idx="3">
                  <c:v>107800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6-4F27-962D-094A633DA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380912"/>
        <c:axId val="416381392"/>
      </c:barChart>
      <c:catAx>
        <c:axId val="41638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381392"/>
        <c:crosses val="autoZero"/>
        <c:auto val="1"/>
        <c:lblAlgn val="ctr"/>
        <c:lblOffset val="100"/>
        <c:noMultiLvlLbl val="0"/>
      </c:catAx>
      <c:valAx>
        <c:axId val="4163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38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473518</xdr:colOff>
      <xdr:row>2</xdr:row>
      <xdr:rowOff>3249</xdr:rowOff>
    </xdr:from>
    <xdr:to>
      <xdr:col>15</xdr:col>
      <xdr:colOff>199361</xdr:colOff>
      <xdr:row>15</xdr:row>
      <xdr:rowOff>189909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5F285-E0EC-6384-525F-548EEF302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5</xdr:row>
      <xdr:rowOff>-1</xdr:rowOff>
    </xdr:from>
    <xdr:to>
      <xdr:col>18</xdr:col>
      <xdr:colOff>429684</xdr:colOff>
      <xdr:row>18</xdr:row>
      <xdr:rowOff>182033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75F51-81E1-8A08-18E5-9B36A6903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anya" refreshedDate="46314.586631597223" createdVersion="8" refreshedVersion="8" minRefreshableVersion="3" recordCount="20" xr:uid="{B78EB762-49B2-4D44-9D56-DFAAE1F26F02}">
  <cacheSource type="worksheet">
    <worksheetSource name="Table1"/>
  </cacheSource>
  <cacheFields count="10">
    <cacheField name="Order_ID" numFmtId="0">
      <sharedItems count="20">
        <s v="O101"/>
        <s v="O102"/>
        <s v="O103"/>
        <s v="O104"/>
        <s v="O105"/>
        <s v="O106"/>
        <s v="O107"/>
        <s v="O108"/>
        <s v="O109"/>
        <s v="O110"/>
        <s v="O111"/>
        <s v="O112"/>
        <s v="O113"/>
        <s v="O114"/>
        <s v="O115"/>
        <s v="O116"/>
        <s v="O117"/>
        <s v="O118"/>
        <s v="O119"/>
        <s v="O120"/>
      </sharedItems>
    </cacheField>
    <cacheField name="Order_Date" numFmtId="14">
      <sharedItems containsSemiMixedTypes="0" containsNonDate="0" containsDate="1" containsString="0" minDate="2026-01-05T00:00:00" maxDate="2026-05-22T00:00:00" count="20">
        <d v="2026-01-05T00:00:00"/>
        <d v="2026-01-08T00:00:00"/>
        <d v="2026-01-12T00:00:00"/>
        <d v="2026-01-15T00:00:00"/>
        <d v="2026-02-02T00:00:00"/>
        <d v="2026-02-06T00:00:00"/>
        <d v="2026-02-10T00:00:00"/>
        <d v="2026-02-14T00:00:00"/>
        <d v="2026-03-03T00:00:00"/>
        <d v="2026-03-07T00:00:00"/>
        <d v="2026-03-12T00:00:00"/>
        <d v="2026-03-18T00:00:00"/>
        <d v="2026-04-02T00:00:00"/>
        <d v="2026-04-09T00:00:00"/>
        <d v="2026-04-15T00:00:00"/>
        <d v="2026-04-20T00:00:00"/>
        <d v="2026-05-04T00:00:00"/>
        <d v="2026-05-11T00:00:00"/>
        <d v="2026-05-16T00:00:00"/>
        <d v="2026-05-21T00:00:00"/>
      </sharedItems>
      <fieldGroup par="9"/>
    </cacheField>
    <cacheField name="Product" numFmtId="0">
      <sharedItems count="4">
        <s v="Laptop"/>
        <s v="Mouse"/>
        <s v="Keyboard"/>
        <s v="Monitor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12"/>
    </cacheField>
    <cacheField name="Unit_Price" numFmtId="0">
      <sharedItems containsSemiMixedTypes="0" containsString="0" containsNumber="1" containsInteger="1" minValue="500" maxValue="45000"/>
    </cacheField>
    <cacheField name="Region" numFmtId="0">
      <sharedItems count="4">
        <s v="South"/>
        <s v="North"/>
        <s v="East"/>
        <s v="West"/>
      </sharedItems>
    </cacheField>
    <cacheField name="Sales" numFmtId="0">
      <sharedItems containsSemiMixedTypes="0" containsString="0" containsNumber="1" containsInteger="1" minValue="2500" maxValue="135000"/>
    </cacheField>
    <cacheField name="Days (Order_Date)" numFmtId="0" databaseField="0">
      <fieldGroup base="1">
        <rangePr groupBy="days" startDate="2026-01-05T00:00:00" endDate="2026-05-22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2-05-2026"/>
        </groupItems>
      </fieldGroup>
    </cacheField>
    <cacheField name="Months (Order_Date)" numFmtId="0" databaseField="0">
      <fieldGroup base="1">
        <rangePr groupBy="months" startDate="2026-01-05T00:00:00" endDate="2026-05-22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5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n v="2"/>
    <n v="45000"/>
    <x v="0"/>
    <n v="90000"/>
  </r>
  <r>
    <x v="1"/>
    <x v="1"/>
    <x v="1"/>
    <x v="1"/>
    <n v="5"/>
    <n v="500"/>
    <x v="1"/>
    <n v="2500"/>
  </r>
  <r>
    <x v="2"/>
    <x v="2"/>
    <x v="2"/>
    <x v="1"/>
    <n v="3"/>
    <n v="1200"/>
    <x v="0"/>
    <n v="3600"/>
  </r>
  <r>
    <x v="3"/>
    <x v="3"/>
    <x v="3"/>
    <x v="0"/>
    <n v="2"/>
    <n v="12000"/>
    <x v="2"/>
    <n v="24000"/>
  </r>
  <r>
    <x v="4"/>
    <x v="4"/>
    <x v="0"/>
    <x v="0"/>
    <n v="1"/>
    <n v="45000"/>
    <x v="3"/>
    <n v="45000"/>
  </r>
  <r>
    <x v="5"/>
    <x v="5"/>
    <x v="1"/>
    <x v="1"/>
    <n v="10"/>
    <n v="500"/>
    <x v="0"/>
    <n v="5000"/>
  </r>
  <r>
    <x v="6"/>
    <x v="6"/>
    <x v="3"/>
    <x v="0"/>
    <n v="3"/>
    <n v="12000"/>
    <x v="1"/>
    <n v="36000"/>
  </r>
  <r>
    <x v="7"/>
    <x v="7"/>
    <x v="2"/>
    <x v="1"/>
    <n v="4"/>
    <n v="1200"/>
    <x v="2"/>
    <n v="4800"/>
  </r>
  <r>
    <x v="8"/>
    <x v="8"/>
    <x v="0"/>
    <x v="0"/>
    <n v="3"/>
    <n v="45000"/>
    <x v="0"/>
    <n v="135000"/>
  </r>
  <r>
    <x v="9"/>
    <x v="9"/>
    <x v="1"/>
    <x v="1"/>
    <n v="8"/>
    <n v="500"/>
    <x v="3"/>
    <n v="4000"/>
  </r>
  <r>
    <x v="10"/>
    <x v="10"/>
    <x v="3"/>
    <x v="0"/>
    <n v="1"/>
    <n v="12000"/>
    <x v="0"/>
    <n v="12000"/>
  </r>
  <r>
    <x v="11"/>
    <x v="11"/>
    <x v="2"/>
    <x v="1"/>
    <n v="6"/>
    <n v="1200"/>
    <x v="1"/>
    <n v="7200"/>
  </r>
  <r>
    <x v="12"/>
    <x v="12"/>
    <x v="0"/>
    <x v="0"/>
    <n v="2"/>
    <n v="45000"/>
    <x v="2"/>
    <n v="90000"/>
  </r>
  <r>
    <x v="13"/>
    <x v="13"/>
    <x v="1"/>
    <x v="1"/>
    <n v="12"/>
    <n v="500"/>
    <x v="0"/>
    <n v="6000"/>
  </r>
  <r>
    <x v="14"/>
    <x v="14"/>
    <x v="3"/>
    <x v="0"/>
    <n v="4"/>
    <n v="12000"/>
    <x v="3"/>
    <n v="48000"/>
  </r>
  <r>
    <x v="15"/>
    <x v="15"/>
    <x v="2"/>
    <x v="1"/>
    <n v="5"/>
    <n v="1200"/>
    <x v="0"/>
    <n v="6000"/>
  </r>
  <r>
    <x v="16"/>
    <x v="16"/>
    <x v="0"/>
    <x v="0"/>
    <n v="1"/>
    <n v="45000"/>
    <x v="1"/>
    <n v="45000"/>
  </r>
  <r>
    <x v="17"/>
    <x v="17"/>
    <x v="1"/>
    <x v="1"/>
    <n v="7"/>
    <n v="500"/>
    <x v="2"/>
    <n v="3500"/>
  </r>
  <r>
    <x v="18"/>
    <x v="18"/>
    <x v="3"/>
    <x v="0"/>
    <n v="2"/>
    <n v="12000"/>
    <x v="0"/>
    <n v="24000"/>
  </r>
  <r>
    <x v="19"/>
    <x v="19"/>
    <x v="2"/>
    <x v="1"/>
    <n v="9"/>
    <n v="1200"/>
    <x v="3"/>
    <n v="10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5C2E4-DD7E-4DBA-9D24-8B3DB38479E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8" firstHeaderRow="0" firstDataRow="1" firstDataCol="1"/>
  <pivotFields count="10">
    <pivotField axis="axisRow" showAll="0">
      <items count="2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t="default" sd="0"/>
      </items>
    </pivotField>
    <pivotField axis="axisRow" numFmtId="14" showAll="0">
      <items count="2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t="default" sd="0"/>
      </items>
    </pivotField>
    <pivotField axis="axisRow" showAll="0">
      <items count="5">
        <item sd="0" x="2"/>
        <item sd="0" x="0"/>
        <item sd="0" x="3"/>
        <item sd="0" x="1"/>
        <item t="default" sd="0"/>
      </items>
    </pivotField>
    <pivotField axis="axisRow" showAll="0">
      <items count="3">
        <item sd="0" x="1"/>
        <item sd="0" x="0"/>
        <item t="default" sd="0"/>
      </items>
    </pivotField>
    <pivotField dataField="1"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7">
    <field x="2"/>
    <field x="9"/>
    <field x="8"/>
    <field x="0"/>
    <field x="1"/>
    <field x="3"/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Unit_Price" fld="5" baseField="0" baseItem="0"/>
    <dataField name="Sum of Quantity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7DDAA-0C67-42A6-B2D0-A76EE7EBA9A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6:K11" firstHeaderRow="1" firstDataRow="1" firstDataCol="1"/>
  <pivotFields count="10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B8A710-5FDE-4613-9F4D-260B9DCFCBD0}" name="Table1" displayName="Table1" ref="A1:H21" totalsRowShown="0">
  <autoFilter ref="A1:H21" xr:uid="{14B8A710-5FDE-4613-9F4D-260B9DCFCBD0}"/>
  <tableColumns count="8">
    <tableColumn id="1" xr3:uid="{A13602B8-CA38-4C62-87CE-1B78D4C0FE55}" name="Order_ID"/>
    <tableColumn id="2" xr3:uid="{DF2721E6-86D7-4391-8F21-5C38466FA99B}" name="Order_Date" dataDxfId="6"/>
    <tableColumn id="3" xr3:uid="{0220C0AB-2CB0-4F55-B43E-3FCE307BE3E0}" name="Product" dataDxfId="5"/>
    <tableColumn id="4" xr3:uid="{7355408B-B3CD-4534-B3C2-943EE76F0171}" name="Category" dataDxfId="4"/>
    <tableColumn id="5" xr3:uid="{6C5ECF4D-DC06-42BE-99AB-38B78784F8FA}" name="Quantity" dataDxfId="3"/>
    <tableColumn id="6" xr3:uid="{D8E4E0DC-C35D-4438-9868-F698A0AAD452}" name="Unit_Price" dataDxfId="2"/>
    <tableColumn id="7" xr3:uid="{A37ECEB7-E8B0-434B-8CFE-B3D6D640C6D0}" name="Region" dataDxfId="1"/>
    <tableColumn id="8" xr3:uid="{36739AF9-0815-4E03-B8CB-1DBAF8040E7D}" name="Sales" dataDxfId="0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33D9-E816-4091-89C8-E662509507CB}">
  <dimension ref="A3:D8"/>
  <sheetViews>
    <sheetView tabSelected="1" zoomScale="86" workbookViewId="0">
      <selection activeCell="D19" sqref="D19"/>
    </sheetView>
  </sheetViews>
  <sheetFormatPr defaultRowHeight="15.5" x14ac:dyDescent="0.35"/>
  <cols>
    <col min="1" max="1" width="12.75" bestFit="1" customWidth="1"/>
    <col min="2" max="2" width="11.5" bestFit="1" customWidth="1"/>
    <col min="3" max="3" width="16.08203125" bestFit="1" customWidth="1"/>
    <col min="4" max="4" width="14.58203125" bestFit="1" customWidth="1"/>
  </cols>
  <sheetData>
    <row r="3" spans="1:4" x14ac:dyDescent="0.35">
      <c r="A3" s="6" t="s">
        <v>38</v>
      </c>
      <c r="B3" t="s">
        <v>40</v>
      </c>
      <c r="C3" t="s">
        <v>41</v>
      </c>
      <c r="D3" t="s">
        <v>42</v>
      </c>
    </row>
    <row r="4" spans="1:4" x14ac:dyDescent="0.35">
      <c r="A4" s="7" t="s">
        <v>16</v>
      </c>
      <c r="B4">
        <v>32400</v>
      </c>
      <c r="C4">
        <v>6000</v>
      </c>
      <c r="D4">
        <v>27</v>
      </c>
    </row>
    <row r="5" spans="1:4" x14ac:dyDescent="0.35">
      <c r="A5" s="7" t="s">
        <v>8</v>
      </c>
      <c r="B5">
        <v>405000</v>
      </c>
      <c r="C5">
        <v>225000</v>
      </c>
      <c r="D5">
        <v>9</v>
      </c>
    </row>
    <row r="6" spans="1:4" x14ac:dyDescent="0.35">
      <c r="A6" s="7" t="s">
        <v>18</v>
      </c>
      <c r="B6">
        <v>144000</v>
      </c>
      <c r="C6">
        <v>60000</v>
      </c>
      <c r="D6">
        <v>12</v>
      </c>
    </row>
    <row r="7" spans="1:4" x14ac:dyDescent="0.35">
      <c r="A7" s="7" t="s">
        <v>12</v>
      </c>
      <c r="B7">
        <v>21000</v>
      </c>
      <c r="C7">
        <v>2500</v>
      </c>
      <c r="D7">
        <v>42</v>
      </c>
    </row>
    <row r="8" spans="1:4" x14ac:dyDescent="0.35">
      <c r="A8" s="7" t="s">
        <v>39</v>
      </c>
      <c r="B8">
        <v>602400</v>
      </c>
      <c r="C8">
        <v>293500</v>
      </c>
      <c r="D8">
        <v>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8ED9-27AD-438C-9B87-4360FC32F746}">
  <dimension ref="A1:K21"/>
  <sheetViews>
    <sheetView topLeftCell="D5" zoomScale="75" workbookViewId="0">
      <selection activeCell="M28" sqref="M28"/>
    </sheetView>
  </sheetViews>
  <sheetFormatPr defaultRowHeight="15.5" x14ac:dyDescent="0.35"/>
  <cols>
    <col min="1" max="1" width="10.08203125" customWidth="1"/>
    <col min="2" max="2" width="17.75" customWidth="1"/>
    <col min="4" max="4" width="11.6640625" customWidth="1"/>
    <col min="10" max="10" width="12.25" bestFit="1" customWidth="1"/>
    <col min="11" max="11" width="11.25" bestFit="1" customWidth="1"/>
  </cols>
  <sheetData>
    <row r="1" spans="1:11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t="s">
        <v>37</v>
      </c>
    </row>
    <row r="2" spans="1:11" x14ac:dyDescent="0.35">
      <c r="A2" s="4" t="s">
        <v>7</v>
      </c>
      <c r="B2" s="5">
        <v>46027</v>
      </c>
      <c r="C2" s="4" t="s">
        <v>8</v>
      </c>
      <c r="D2" s="4" t="s">
        <v>9</v>
      </c>
      <c r="E2" s="2">
        <v>2</v>
      </c>
      <c r="F2" s="2">
        <v>45000</v>
      </c>
      <c r="G2" s="4" t="s">
        <v>10</v>
      </c>
      <c r="H2" s="4">
        <f t="shared" ref="H2:H21" si="0">E2*F2</f>
        <v>90000</v>
      </c>
    </row>
    <row r="3" spans="1:11" x14ac:dyDescent="0.35">
      <c r="A3" s="4" t="s">
        <v>11</v>
      </c>
      <c r="B3" s="5">
        <v>46030</v>
      </c>
      <c r="C3" s="4" t="s">
        <v>12</v>
      </c>
      <c r="D3" s="4" t="s">
        <v>13</v>
      </c>
      <c r="E3" s="2">
        <v>5</v>
      </c>
      <c r="F3" s="2">
        <v>500</v>
      </c>
      <c r="G3" s="4" t="s">
        <v>14</v>
      </c>
      <c r="H3" s="4">
        <f t="shared" si="0"/>
        <v>2500</v>
      </c>
    </row>
    <row r="4" spans="1:11" x14ac:dyDescent="0.35">
      <c r="A4" s="4" t="s">
        <v>15</v>
      </c>
      <c r="B4" s="5">
        <v>46034</v>
      </c>
      <c r="C4" s="4" t="s">
        <v>16</v>
      </c>
      <c r="D4" s="4" t="s">
        <v>13</v>
      </c>
      <c r="E4" s="2">
        <v>3</v>
      </c>
      <c r="F4" s="2">
        <v>1200</v>
      </c>
      <c r="G4" s="4" t="s">
        <v>10</v>
      </c>
      <c r="H4" s="4">
        <f t="shared" si="0"/>
        <v>3600</v>
      </c>
    </row>
    <row r="5" spans="1:11" x14ac:dyDescent="0.35">
      <c r="A5" s="4" t="s">
        <v>17</v>
      </c>
      <c r="B5" s="5">
        <v>46037</v>
      </c>
      <c r="C5" s="4" t="s">
        <v>18</v>
      </c>
      <c r="D5" s="4" t="s">
        <v>9</v>
      </c>
      <c r="E5" s="2">
        <v>2</v>
      </c>
      <c r="F5" s="2">
        <v>12000</v>
      </c>
      <c r="G5" s="4" t="s">
        <v>19</v>
      </c>
      <c r="H5" s="4">
        <f t="shared" si="0"/>
        <v>24000</v>
      </c>
    </row>
    <row r="6" spans="1:11" x14ac:dyDescent="0.35">
      <c r="A6" s="4" t="s">
        <v>20</v>
      </c>
      <c r="B6" s="5">
        <v>46055</v>
      </c>
      <c r="C6" s="4" t="s">
        <v>8</v>
      </c>
      <c r="D6" s="4" t="s">
        <v>9</v>
      </c>
      <c r="E6" s="2">
        <v>1</v>
      </c>
      <c r="F6" s="2">
        <v>45000</v>
      </c>
      <c r="G6" s="4" t="s">
        <v>21</v>
      </c>
      <c r="H6" s="4">
        <f t="shared" si="0"/>
        <v>45000</v>
      </c>
      <c r="J6" s="6" t="s">
        <v>38</v>
      </c>
      <c r="K6" t="s">
        <v>40</v>
      </c>
    </row>
    <row r="7" spans="1:11" x14ac:dyDescent="0.35">
      <c r="A7" s="4" t="s">
        <v>22</v>
      </c>
      <c r="B7" s="5">
        <v>46059</v>
      </c>
      <c r="C7" s="4" t="s">
        <v>12</v>
      </c>
      <c r="D7" s="4" t="s">
        <v>13</v>
      </c>
      <c r="E7" s="2">
        <v>10</v>
      </c>
      <c r="F7" s="2">
        <v>500</v>
      </c>
      <c r="G7" s="4" t="s">
        <v>10</v>
      </c>
      <c r="H7" s="4">
        <f t="shared" si="0"/>
        <v>5000</v>
      </c>
      <c r="J7" s="7" t="s">
        <v>19</v>
      </c>
      <c r="K7" s="8">
        <v>122300</v>
      </c>
    </row>
    <row r="8" spans="1:11" x14ac:dyDescent="0.35">
      <c r="A8" s="4" t="s">
        <v>23</v>
      </c>
      <c r="B8" s="5">
        <v>46063</v>
      </c>
      <c r="C8" s="4" t="s">
        <v>18</v>
      </c>
      <c r="D8" s="4" t="s">
        <v>9</v>
      </c>
      <c r="E8" s="2">
        <v>3</v>
      </c>
      <c r="F8" s="2">
        <v>12000</v>
      </c>
      <c r="G8" s="4" t="s">
        <v>14</v>
      </c>
      <c r="H8" s="4">
        <f t="shared" si="0"/>
        <v>36000</v>
      </c>
      <c r="J8" s="7" t="s">
        <v>14</v>
      </c>
      <c r="K8" s="8">
        <v>90700</v>
      </c>
    </row>
    <row r="9" spans="1:11" x14ac:dyDescent="0.35">
      <c r="A9" s="4" t="s">
        <v>24</v>
      </c>
      <c r="B9" s="5">
        <v>46067</v>
      </c>
      <c r="C9" s="4" t="s">
        <v>16</v>
      </c>
      <c r="D9" s="4" t="s">
        <v>13</v>
      </c>
      <c r="E9" s="2">
        <v>4</v>
      </c>
      <c r="F9" s="2">
        <v>1200</v>
      </c>
      <c r="G9" s="4" t="s">
        <v>19</v>
      </c>
      <c r="H9" s="4">
        <f t="shared" si="0"/>
        <v>4800</v>
      </c>
      <c r="J9" s="7" t="s">
        <v>10</v>
      </c>
      <c r="K9" s="8">
        <v>281600</v>
      </c>
    </row>
    <row r="10" spans="1:11" x14ac:dyDescent="0.35">
      <c r="A10" s="4" t="s">
        <v>25</v>
      </c>
      <c r="B10" s="5">
        <v>46084</v>
      </c>
      <c r="C10" s="4" t="s">
        <v>8</v>
      </c>
      <c r="D10" s="4" t="s">
        <v>9</v>
      </c>
      <c r="E10" s="2">
        <v>3</v>
      </c>
      <c r="F10" s="2">
        <v>45000</v>
      </c>
      <c r="G10" s="4" t="s">
        <v>10</v>
      </c>
      <c r="H10" s="4">
        <f t="shared" si="0"/>
        <v>135000</v>
      </c>
      <c r="J10" s="7" t="s">
        <v>21</v>
      </c>
      <c r="K10" s="8">
        <v>107800</v>
      </c>
    </row>
    <row r="11" spans="1:11" x14ac:dyDescent="0.35">
      <c r="A11" s="4" t="s">
        <v>26</v>
      </c>
      <c r="B11" s="5">
        <v>46088</v>
      </c>
      <c r="C11" s="4" t="s">
        <v>12</v>
      </c>
      <c r="D11" s="4" t="s">
        <v>13</v>
      </c>
      <c r="E11" s="2">
        <v>8</v>
      </c>
      <c r="F11" s="2">
        <v>500</v>
      </c>
      <c r="G11" s="4" t="s">
        <v>21</v>
      </c>
      <c r="H11" s="4">
        <f t="shared" si="0"/>
        <v>4000</v>
      </c>
      <c r="J11" s="7" t="s">
        <v>39</v>
      </c>
      <c r="K11" s="8">
        <v>602400</v>
      </c>
    </row>
    <row r="12" spans="1:11" x14ac:dyDescent="0.35">
      <c r="A12" s="4" t="s">
        <v>27</v>
      </c>
      <c r="B12" s="5">
        <v>46093</v>
      </c>
      <c r="C12" s="4" t="s">
        <v>18</v>
      </c>
      <c r="D12" s="4" t="s">
        <v>9</v>
      </c>
      <c r="E12" s="2">
        <v>1</v>
      </c>
      <c r="F12" s="2">
        <v>12000</v>
      </c>
      <c r="G12" s="4" t="s">
        <v>10</v>
      </c>
      <c r="H12" s="4">
        <f t="shared" si="0"/>
        <v>12000</v>
      </c>
    </row>
    <row r="13" spans="1:11" x14ac:dyDescent="0.35">
      <c r="A13" s="4" t="s">
        <v>28</v>
      </c>
      <c r="B13" s="5">
        <v>46099</v>
      </c>
      <c r="C13" s="4" t="s">
        <v>16</v>
      </c>
      <c r="D13" s="4" t="s">
        <v>13</v>
      </c>
      <c r="E13" s="2">
        <v>6</v>
      </c>
      <c r="F13" s="2">
        <v>1200</v>
      </c>
      <c r="G13" s="4" t="s">
        <v>14</v>
      </c>
      <c r="H13" s="4">
        <f t="shared" si="0"/>
        <v>7200</v>
      </c>
    </row>
    <row r="14" spans="1:11" x14ac:dyDescent="0.35">
      <c r="A14" s="4" t="s">
        <v>29</v>
      </c>
      <c r="B14" s="5">
        <v>46114</v>
      </c>
      <c r="C14" s="4" t="s">
        <v>8</v>
      </c>
      <c r="D14" s="4" t="s">
        <v>9</v>
      </c>
      <c r="E14" s="2">
        <v>2</v>
      </c>
      <c r="F14" s="2">
        <v>45000</v>
      </c>
      <c r="G14" s="4" t="s">
        <v>19</v>
      </c>
      <c r="H14" s="4">
        <f t="shared" si="0"/>
        <v>90000</v>
      </c>
    </row>
    <row r="15" spans="1:11" x14ac:dyDescent="0.35">
      <c r="A15" s="4" t="s">
        <v>30</v>
      </c>
      <c r="B15" s="5">
        <v>46121</v>
      </c>
      <c r="C15" s="4" t="s">
        <v>12</v>
      </c>
      <c r="D15" s="4" t="s">
        <v>13</v>
      </c>
      <c r="E15" s="2">
        <v>12</v>
      </c>
      <c r="F15" s="2">
        <v>500</v>
      </c>
      <c r="G15" s="4" t="s">
        <v>10</v>
      </c>
      <c r="H15" s="4">
        <f t="shared" si="0"/>
        <v>6000</v>
      </c>
    </row>
    <row r="16" spans="1:11" x14ac:dyDescent="0.35">
      <c r="A16" s="4" t="s">
        <v>31</v>
      </c>
      <c r="B16" s="5">
        <v>46127</v>
      </c>
      <c r="C16" s="4" t="s">
        <v>18</v>
      </c>
      <c r="D16" s="4" t="s">
        <v>9</v>
      </c>
      <c r="E16" s="2">
        <v>4</v>
      </c>
      <c r="F16" s="2">
        <v>12000</v>
      </c>
      <c r="G16" s="4" t="s">
        <v>21</v>
      </c>
      <c r="H16" s="4">
        <f t="shared" si="0"/>
        <v>48000</v>
      </c>
    </row>
    <row r="17" spans="1:8" x14ac:dyDescent="0.35">
      <c r="A17" s="4" t="s">
        <v>32</v>
      </c>
      <c r="B17" s="5">
        <v>46132</v>
      </c>
      <c r="C17" s="4" t="s">
        <v>16</v>
      </c>
      <c r="D17" s="4" t="s">
        <v>13</v>
      </c>
      <c r="E17" s="2">
        <v>5</v>
      </c>
      <c r="F17" s="2">
        <v>1200</v>
      </c>
      <c r="G17" s="4" t="s">
        <v>10</v>
      </c>
      <c r="H17" s="4">
        <f t="shared" si="0"/>
        <v>6000</v>
      </c>
    </row>
    <row r="18" spans="1:8" x14ac:dyDescent="0.35">
      <c r="A18" s="4" t="s">
        <v>33</v>
      </c>
      <c r="B18" s="5">
        <v>46146</v>
      </c>
      <c r="C18" s="4" t="s">
        <v>8</v>
      </c>
      <c r="D18" s="4" t="s">
        <v>9</v>
      </c>
      <c r="E18" s="2">
        <v>1</v>
      </c>
      <c r="F18" s="2">
        <v>45000</v>
      </c>
      <c r="G18" s="4" t="s">
        <v>14</v>
      </c>
      <c r="H18" s="4">
        <f t="shared" si="0"/>
        <v>45000</v>
      </c>
    </row>
    <row r="19" spans="1:8" x14ac:dyDescent="0.35">
      <c r="A19" s="4" t="s">
        <v>34</v>
      </c>
      <c r="B19" s="5">
        <v>46153</v>
      </c>
      <c r="C19" s="4" t="s">
        <v>12</v>
      </c>
      <c r="D19" s="4" t="s">
        <v>13</v>
      </c>
      <c r="E19" s="2">
        <v>7</v>
      </c>
      <c r="F19" s="2">
        <v>500</v>
      </c>
      <c r="G19" s="4" t="s">
        <v>19</v>
      </c>
      <c r="H19" s="4">
        <f t="shared" si="0"/>
        <v>3500</v>
      </c>
    </row>
    <row r="20" spans="1:8" x14ac:dyDescent="0.35">
      <c r="A20" s="4" t="s">
        <v>35</v>
      </c>
      <c r="B20" s="5">
        <v>46158</v>
      </c>
      <c r="C20" s="4" t="s">
        <v>18</v>
      </c>
      <c r="D20" s="4" t="s">
        <v>9</v>
      </c>
      <c r="E20" s="2">
        <v>2</v>
      </c>
      <c r="F20" s="2">
        <v>12000</v>
      </c>
      <c r="G20" s="4" t="s">
        <v>10</v>
      </c>
      <c r="H20" s="4">
        <f t="shared" si="0"/>
        <v>24000</v>
      </c>
    </row>
    <row r="21" spans="1:8" x14ac:dyDescent="0.35">
      <c r="A21" s="4" t="s">
        <v>36</v>
      </c>
      <c r="B21" s="5">
        <v>46163</v>
      </c>
      <c r="C21" s="4" t="s">
        <v>16</v>
      </c>
      <c r="D21" s="4" t="s">
        <v>13</v>
      </c>
      <c r="E21" s="2">
        <v>9</v>
      </c>
      <c r="F21" s="2">
        <v>1200</v>
      </c>
      <c r="G21" s="4" t="s">
        <v>21</v>
      </c>
      <c r="H21" s="4">
        <f t="shared" si="0"/>
        <v>10800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. S</dc:creator>
  <cp:lastModifiedBy>Lavanya . S</cp:lastModifiedBy>
  <dcterms:created xsi:type="dcterms:W3CDTF">2026-10-14T10:31:49Z</dcterms:created>
  <dcterms:modified xsi:type="dcterms:W3CDTF">2026-10-29T14:19:12Z</dcterms:modified>
</cp:coreProperties>
</file>